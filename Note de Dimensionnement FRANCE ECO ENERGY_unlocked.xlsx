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media/image1.png" ContentType="image/png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3.xml.rels" ContentType="application/vnd.openxmlformats-package.relationships+xml"/>
  <Override PartName="/customXml/_rels/item2.xml.rels" ContentType="application/vnd.openxmlformats-package.relationships+xml"/>
  <Override PartName="/customXml/_rels/item1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ote" sheetId="1" state="visible" r:id="rId2"/>
    <sheet name="Data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<sst xmlns="http://schemas.openxmlformats.org/spreadsheetml/2006/main" count="84" uniqueCount="82">
  <si>
    <t xml:space="preserve">Note de Dimensionnement                                  Pompe à chaleur Air/Eau                  </t>
  </si>
  <si>
    <t xml:space="preserve">Le client</t>
  </si>
  <si>
    <t xml:space="preserve">Nom et Prénom :</t>
  </si>
  <si>
    <t xml:space="preserve">POGOSIAN SUZIE</t>
  </si>
  <si>
    <t xml:space="preserve">Adresse du chantier :</t>
  </si>
  <si>
    <t xml:space="preserve">Code postal et Ville  :</t>
  </si>
  <si>
    <t xml:space="preserve">42340 VEAUCHE</t>
  </si>
  <si>
    <t xml:space="preserve">Téléphone :</t>
  </si>
  <si>
    <t xml:space="preserve">0661481977.</t>
  </si>
  <si>
    <t xml:space="preserve">CALCUL DU VOLUME A CHAUFFER AVEC LA PAC :</t>
  </si>
  <si>
    <t xml:space="preserve">Surface chauffée par le réseau d'eau :</t>
  </si>
  <si>
    <t xml:space="preserve">Hauteur moyenne sous plafond :</t>
  </si>
  <si>
    <t xml:space="preserve">Volume à chauffer (V):</t>
  </si>
  <si>
    <t xml:space="preserve">DETERMINATION DE LA TEMPERATURE DE BASE</t>
  </si>
  <si>
    <t xml:space="preserve">Zone</t>
  </si>
  <si>
    <t xml:space="preserve">G</t>
  </si>
  <si>
    <t xml:space="preserve">Altitude:</t>
  </si>
  <si>
    <t xml:space="preserve">Température de base :</t>
  </si>
  <si>
    <t xml:space="preserve">DETERMINATION DU COEFFICIENT DE DEPERDITION ENERGETIQUE DU LOGEMENT :</t>
  </si>
  <si>
    <t xml:space="preserve">Typologie du logement :</t>
  </si>
  <si>
    <t xml:space="preserve">Construction entre 1974 et 1982</t>
  </si>
  <si>
    <t xml:space="preserve">Coefficient de déperdition énergétique (G) :</t>
  </si>
  <si>
    <t xml:space="preserve">DETERMINATION DU ΔT :</t>
  </si>
  <si>
    <t xml:space="preserve">Température de confort souhaitée :</t>
  </si>
  <si>
    <t xml:space="preserve">ΔT =</t>
  </si>
  <si>
    <t xml:space="preserve">DEPERDITION A Tbase</t>
  </si>
  <si>
    <t xml:space="preserve">Deperdition* =</t>
  </si>
  <si>
    <t xml:space="preserve">*P = G*V*ΔT</t>
  </si>
  <si>
    <t xml:space="preserve">POMPE A CHALEUR CHOISI POUR CE CHANTIER :</t>
  </si>
  <si>
    <t xml:space="preserve">Marque :</t>
  </si>
  <si>
    <t xml:space="preserve">CARRIER</t>
  </si>
  <si>
    <t xml:space="preserve">Référence Unité Exterieur :</t>
  </si>
  <si>
    <t xml:space="preserve">Modèle :</t>
  </si>
  <si>
    <t xml:space="preserve">XP-ENERGY 80AX-R</t>
  </si>
  <si>
    <t xml:space="preserve">Référence module Hydraulique : </t>
  </si>
  <si>
    <t xml:space="preserve">Puissance nominal :</t>
  </si>
  <si>
    <t xml:space="preserve">Efficacité énergétique saisonnière (ηs) au régime de fonctionnement :</t>
  </si>
  <si>
    <t xml:space="preserve">Puissance PAC à Tbase en W:</t>
  </si>
  <si>
    <t xml:space="preserve">T arrêt : </t>
  </si>
  <si>
    <t xml:space="preserve">Compatibilité des émetteurs existants avec la PAC projetée :</t>
  </si>
  <si>
    <t xml:space="preserve">Oui</t>
  </si>
  <si>
    <t xml:space="preserve">Régime de fonctionnement :</t>
  </si>
  <si>
    <t xml:space="preserve">Moyenne T°C</t>
  </si>
  <si>
    <t xml:space="preserve">VERIFICATION DIMENSIONNEMENT </t>
  </si>
  <si>
    <t xml:space="preserve">Taux de couverture PAC : </t>
  </si>
  <si>
    <t xml:space="preserve">T arrêt &lt; T Base :</t>
  </si>
  <si>
    <t xml:space="preserve">Selon date d'engagement : </t>
  </si>
  <si>
    <t xml:space="preserve">avant 01/11/2022</t>
  </si>
  <si>
    <t xml:space="preserve">après 01/11/2022</t>
  </si>
  <si>
    <t xml:space="preserve">V1 du 28/10/2022</t>
  </si>
  <si>
    <t xml:space="preserve">Tranches d'altitude</t>
  </si>
  <si>
    <t xml:space="preserve">Zones </t>
  </si>
  <si>
    <t xml:space="preserve">Typologie</t>
  </si>
  <si>
    <t xml:space="preserve">Coef G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</si>
  <si>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</si>
  <si>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</si>
  <si>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</si>
  <si>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</si>
  <si>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</si>
  <si>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F</t>
  </si>
  <si>
    <t xml:space="preserve">H</t>
  </si>
  <si>
    <t xml:space="preserve">I</t>
  </si>
  <si>
    <t xml:space="preserve">Véranda</t>
  </si>
  <si>
    <t xml:space="preserve">Construction très mal isolée avant 1960</t>
  </si>
  <si>
    <t xml:space="preserve">Construction mal isolée avant 1970</t>
  </si>
  <si>
    <t xml:space="preserve">Construction ancienne isolée, sur dalle</t>
  </si>
  <si>
    <t xml:space="preserve">Construction ancienne mal isolée</t>
  </si>
  <si>
    <t xml:space="preserve">Construction ancienne, murs épais pas isolé</t>
  </si>
  <si>
    <t xml:space="preserve">Construction ancienne isolée</t>
  </si>
  <si>
    <t xml:space="preserve">Construction mal isolée après 1980</t>
  </si>
  <si>
    <t xml:space="preserve">Construction isolée après 1980</t>
  </si>
  <si>
    <t xml:space="preserve">Construction isolée après 1990</t>
  </si>
  <si>
    <t xml:space="preserve">Construction entre 1990 et 2000</t>
  </si>
  <si>
    <t xml:space="preserve">Construction norme HPE rénovation 2009</t>
  </si>
  <si>
    <t xml:space="preserve">Construction norme RT 2000 entre 2001 et 2006</t>
  </si>
  <si>
    <t xml:space="preserve">Construction entre 2001 et 2005</t>
  </si>
  <si>
    <t xml:space="preserve">Isolation Norme RT2000</t>
  </si>
  <si>
    <t xml:space="preserve">Construction norme RT 2005 entre 2007 et 2012</t>
  </si>
  <si>
    <t xml:space="preserve">Isolation norme RT 2005</t>
  </si>
  <si>
    <t xml:space="preserve">Isolation norme RT 2005 Elect</t>
  </si>
  <si>
    <t xml:space="preserve">Construction norme BBC Rénovation 2009</t>
  </si>
  <si>
    <t xml:space="preserve">Construction norme RT 2012 après 2012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</si>
</sst>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#&quot; m²&quot;"/>
    <numFmt numFmtId="166" formatCode="#.##&quot; m&quot;"/>
    <numFmt numFmtId="167" formatCode="#&quot; m³&quot;"/>
    <numFmt numFmtId="168" formatCode="#&quot; m&quot;"/>
    <numFmt numFmtId="169" formatCode="#&quot;°C&quot;"/>
    <numFmt numFmtId="170" formatCode="#&quot; W&quot;"/>
    <numFmt numFmtId="171" formatCode="_-* #,##0.00_-;\-* #,##0.00_-;_-* \-??_-;_-@_-"/>
    <numFmt numFmtId="172" formatCode="#,##0&quot; W&quot;"/>
    <numFmt numFmtId="173" formatCode="#&quot; %&quot;"/>
    <numFmt numFmtId="174" formatCode="General"/>
    <numFmt numFmtId="175" formatCode="###0"/>
  </numFmts>
  <fonts count="20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8"/>
      <color rgb="FF000000"/>
      <name val="Calibri"/>
      <family val="2"/>
      <charset val="1"/>
    </font>
    <font>
      <sz val="8"/>
      <color rgb="FF000000"/>
      <name val="Calibri"/>
      <family val="2"/>
      <charset val="1"/>
    </font>
    <font>
      <b val="true"/>
      <u val="single"/>
      <sz val="9"/>
      <color rgb="FF000000"/>
      <name val="Calibri"/>
      <family val="2"/>
      <charset val="1"/>
    </font>
    <font>
      <sz val="9"/>
      <color rgb="FF000000"/>
      <name val="Calibri"/>
      <family val="2"/>
      <charset val="1"/>
    </font>
    <font>
      <sz val="14"/>
      <color rgb="FF000000"/>
      <name val="Calibri"/>
      <family val="2"/>
      <charset val="1"/>
    </font>
    <font>
      <b val="true"/>
      <u val="single"/>
      <sz val="8"/>
      <color rgb="FF000000"/>
      <name val="Calibri"/>
      <family val="2"/>
      <charset val="1"/>
    </font>
    <font>
      <sz val="8"/>
      <name val="Calibri"/>
      <family val="2"/>
      <charset val="1"/>
    </font>
    <font>
      <sz val="10"/>
      <name val="Calibri"/>
      <family val="2"/>
      <charset val="1"/>
    </font>
    <font>
      <b val="true"/>
      <sz val="10"/>
      <name val="Calibri"/>
      <family val="2"/>
      <charset val="1"/>
    </font>
    <font>
      <b val="true"/>
      <sz val="10"/>
      <color rgb="FF000000"/>
      <name val="Calibri"/>
      <family val="2"/>
      <charset val="1"/>
    </font>
    <font>
      <sz val="10"/>
      <color rgb="FF000000"/>
      <name val="Calibri"/>
      <family val="2"/>
      <charset val="1"/>
    </font>
    <font>
      <u val="single"/>
      <sz val="8"/>
      <color rgb="FF000000"/>
      <name val="Calibri"/>
      <family val="2"/>
      <charset val="1"/>
    </font>
    <font>
      <b val="true"/>
      <u val="single"/>
      <sz val="11"/>
      <color rgb="FF000000"/>
      <name val="Calibri"/>
      <family val="2"/>
      <charset val="1"/>
    </font>
    <font>
      <i val="true"/>
      <sz val="8"/>
      <color rgb="FF000000"/>
      <name val="Calibri"/>
      <family val="2"/>
      <charset val="1"/>
    </font>
    <font>
      <sz val="6"/>
      <color rgb="FF000000"/>
      <name val="Calibri"/>
      <family val="2"/>
      <charset val="1"/>
    </font>
    <font>
      <sz val="11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2CC"/>
      </patternFill>
    </fill>
    <fill>
      <patternFill patternType="solid">
        <fgColor rgb="FFFFF2CC"/>
        <bgColor rgb="FFFFFFFF"/>
      </patternFill>
    </fill>
    <fill>
      <patternFill patternType="solid">
        <fgColor rgb="FF92D050"/>
        <bgColor rgb="FFC0C0C0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71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2" borderId="0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8" fillId="3" borderId="0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9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1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2" fillId="3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4" fontId="5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13" fillId="3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7" fontId="13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2" fillId="3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8" fontId="12" fillId="3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4" fontId="14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9" fontId="13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3" borderId="0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5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9" fontId="5" fillId="3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9" fontId="12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6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0" fontId="12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3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72" fontId="0" fillId="3" borderId="2" xfId="15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72" fontId="0" fillId="2" borderId="3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2" borderId="4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0" fillId="3" borderId="5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0" fillId="2" borderId="3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72" fontId="0" fillId="3" borderId="6" xfId="15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9" fontId="0" fillId="3" borderId="6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69" fontId="0" fillId="2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3" borderId="7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5" fillId="3" borderId="7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5" fillId="2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3" fontId="12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4" fontId="13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13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9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5" fontId="19" fillId="0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5" fontId="1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5" fontId="19" fillId="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5" fontId="19" fillId="0" borderId="7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5" fontId="19" fillId="0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9" fillId="0" borderId="7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ont>
        <color rgb="FF006100"/>
      </font>
      <fill>
        <patternFill>
          <bgColor rgb="FFC6EFCE"/>
        </patternFill>
      </fill>
    </dxf>
    <dxf>
      <font>
        <name val="Calibri"/>
        <charset val="1"/>
        <family val="2"/>
        <color rgb="FF000000"/>
        <sz val="11"/>
      </font>
      <alignment horizontal="general" vertical="bottom" textRotation="0" wrapText="false" indent="0" shrinkToFit="false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FFCCCCCC"/>
          <bgColor rgb="FF272727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66240</xdr:colOff>
      <xdr:row>15</xdr:row>
      <xdr:rowOff>103320</xdr:rowOff>
    </xdr:from>
    <xdr:to>
      <xdr:col>14</xdr:col>
      <xdr:colOff>413640</xdr:colOff>
      <xdr:row>39</xdr:row>
      <xdr:rowOff>52920</xdr:rowOff>
    </xdr:to>
    <xdr:pic>
      <xdr:nvPicPr>
        <xdr:cNvPr id="0" name="Image 2" descr=""/>
        <xdr:cNvPicPr/>
      </xdr:nvPicPr>
      <xdr:blipFill>
        <a:blip r:embed="rId1"/>
        <a:srcRect l="2722" t="0" r="3618" b="0"/>
        <a:stretch/>
      </xdr:blipFill>
      <xdr:spPr>
        <a:xfrm>
          <a:off x="4718880" y="2103480"/>
          <a:ext cx="3814560" cy="3150000"/>
        </a:xfrm>
        <a:prstGeom prst="rect">
          <a:avLst/>
        </a:prstGeom>
        <a:ln w="0">
          <a:noFill/>
        </a:ln>
      </xdr:spPr>
    </xdr:pic>
    <xdr:clientData/>
  </xdr:twoCellAnchor>
</xdr:wsDr>
</file>

<file path=xl/tables/table1.xml><?xml version="1.0" encoding="utf-8"?>
<table xmlns="http://schemas.openxmlformats.org/spreadsheetml/2006/main" id="1" name="Tableau2" displayName="Tableau2" ref="M1:N22" headerRowCount="1" totalsRowCount="0" totalsRowShown="0">
  <autoFilter ref="M1:N22"/>
  <tableColumns count="2">
    <tableColumn id="1" name="Typologie"/>
    <tableColumn id="2" name="Coef G"/>
  </tableColumns>
</tabl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3:O81"/>
  <sheetViews>
    <sheetView showFormulas="false" showGridLines="true" showRowColHeaders="true" showZeros="true" rightToLeft="false" tabSelected="true" showOutlineSymbols="true" defaultGridColor="true" view="normal" topLeftCell="A1" colorId="64" zoomScale="160" zoomScaleNormal="160" zoomScalePageLayoutView="100" workbookViewId="0">
      <selection pane="topLeft" activeCell="A3" activeCellId="0" sqref="A3"/>
    </sheetView>
  </sheetViews>
  <sheetFormatPr defaultColWidth="6.5" defaultRowHeight="10.5" zeroHeight="false" outlineLevelRow="0" outlineLevelCol="0"/>
  <cols>
    <col collapsed="false" customWidth="false" hidden="false" outlineLevel="0" max="4" min="1" style="1" width="6.5"/>
    <col collapsed="false" customWidth="true" hidden="false" outlineLevel="0" max="5" min="5" style="1" width="6.83"/>
    <col collapsed="false" customWidth="false" hidden="false" outlineLevel="0" max="1024" min="6" style="1" width="6.5"/>
  </cols>
  <sheetData>
    <row r="3" customFormat="false" ht="10.5" hidden="false" customHeight="true" outlineLevel="0" collapsed="false">
      <c r="A3" s="2"/>
      <c r="B3" s="2"/>
      <c r="C3" s="2"/>
      <c r="D3" s="2"/>
      <c r="E3" s="2"/>
      <c r="H3" s="3" t="s">
        <v>0</v>
      </c>
      <c r="I3" s="3"/>
      <c r="J3" s="3"/>
      <c r="K3" s="3"/>
      <c r="L3" s="3"/>
      <c r="M3" s="3"/>
      <c r="N3" s="3"/>
      <c r="O3" s="3"/>
    </row>
    <row r="4" customFormat="false" ht="10.5" hidden="false" customHeight="true" outlineLevel="0" collapsed="false">
      <c r="A4" s="2"/>
      <c r="B4" s="2"/>
      <c r="C4" s="2"/>
      <c r="D4" s="2"/>
      <c r="E4" s="2"/>
      <c r="H4" s="3"/>
      <c r="I4" s="3"/>
      <c r="J4" s="3"/>
      <c r="K4" s="3"/>
      <c r="L4" s="3"/>
      <c r="M4" s="3"/>
      <c r="N4" s="3"/>
      <c r="O4" s="3"/>
    </row>
    <row r="5" customFormat="false" ht="10.5" hidden="false" customHeight="true" outlineLevel="0" collapsed="false">
      <c r="A5" s="2"/>
      <c r="B5" s="2"/>
      <c r="C5" s="2"/>
      <c r="D5" s="2"/>
      <c r="E5" s="2"/>
      <c r="H5" s="3"/>
      <c r="I5" s="3"/>
      <c r="J5" s="3"/>
      <c r="K5" s="3"/>
      <c r="L5" s="3"/>
      <c r="M5" s="3"/>
      <c r="N5" s="3"/>
      <c r="O5" s="3"/>
    </row>
    <row r="6" customFormat="false" ht="10.5" hidden="false" customHeight="true" outlineLevel="0" collapsed="false">
      <c r="A6" s="2"/>
      <c r="B6" s="2"/>
      <c r="C6" s="2"/>
      <c r="D6" s="2"/>
      <c r="E6" s="2"/>
      <c r="F6" s="4"/>
      <c r="G6" s="4"/>
      <c r="H6" s="3"/>
      <c r="I6" s="3"/>
      <c r="J6" s="3"/>
      <c r="K6" s="3"/>
      <c r="L6" s="3"/>
      <c r="M6" s="3"/>
      <c r="N6" s="3"/>
      <c r="O6" s="3"/>
    </row>
    <row r="7" customFormat="false" ht="10.5" hidden="false" customHeight="true" outlineLevel="0" collapsed="false">
      <c r="A7" s="2"/>
      <c r="B7" s="2"/>
      <c r="C7" s="2"/>
      <c r="D7" s="2"/>
      <c r="E7" s="2"/>
      <c r="F7" s="4"/>
      <c r="G7" s="4"/>
      <c r="H7" s="3"/>
      <c r="I7" s="3"/>
      <c r="J7" s="3"/>
      <c r="K7" s="3"/>
      <c r="L7" s="3"/>
      <c r="M7" s="3"/>
      <c r="N7" s="3"/>
      <c r="O7" s="3"/>
    </row>
    <row r="8" customFormat="false" ht="10.5" hidden="false" customHeight="true" outlineLevel="0" collapsed="false">
      <c r="A8" s="2"/>
      <c r="B8" s="2"/>
      <c r="C8" s="2"/>
      <c r="D8" s="2"/>
      <c r="E8" s="2"/>
      <c r="F8" s="4"/>
      <c r="G8" s="4"/>
      <c r="H8" s="3"/>
      <c r="I8" s="3"/>
      <c r="J8" s="3"/>
      <c r="K8" s="3"/>
      <c r="L8" s="3"/>
      <c r="M8" s="3"/>
      <c r="N8" s="3"/>
      <c r="O8" s="3"/>
    </row>
    <row r="9" customFormat="false" ht="10.5" hidden="false" customHeight="true" outlineLevel="0" collapsed="false">
      <c r="A9" s="2"/>
      <c r="B9" s="2"/>
      <c r="C9" s="2"/>
      <c r="D9" s="2"/>
      <c r="E9" s="2"/>
      <c r="F9" s="4"/>
      <c r="G9" s="4"/>
    </row>
    <row r="10" customFormat="false" ht="10.5" hidden="false" customHeight="true" outlineLevel="0" collapsed="false">
      <c r="C10" s="4"/>
      <c r="D10" s="4"/>
      <c r="F10" s="4"/>
      <c r="G10" s="4"/>
    </row>
    <row r="11" customFormat="false" ht="10.5" hidden="false" customHeight="true" outlineLevel="0" collapsed="false">
      <c r="B11" s="4"/>
      <c r="C11" s="5" t="s">
        <v>1</v>
      </c>
      <c r="D11" s="4"/>
      <c r="F11" s="4"/>
      <c r="G11" s="4"/>
    </row>
    <row r="12" customFormat="false" ht="10.5" hidden="false" customHeight="true" outlineLevel="0" collapsed="false">
      <c r="C12" s="6" t="s">
        <v>2</v>
      </c>
      <c r="D12" s="7" t="s">
        <v>3</v>
      </c>
      <c r="E12" s="7"/>
      <c r="F12" s="7"/>
      <c r="G12" s="7"/>
      <c r="H12" s="7"/>
      <c r="I12" s="7"/>
    </row>
    <row r="13" customFormat="false" ht="10.5" hidden="false" customHeight="true" outlineLevel="0" collapsed="false">
      <c r="C13" s="6" t="s">
        <v>4</v>
      </c>
      <c r="D13" s="7" t="n">
        <v>14</v>
      </c>
      <c r="E13" s="7"/>
      <c r="F13" s="7"/>
      <c r="G13" s="7"/>
      <c r="H13" s="7"/>
      <c r="I13" s="7"/>
    </row>
    <row r="14" customFormat="false" ht="10.5" hidden="false" customHeight="true" outlineLevel="0" collapsed="false">
      <c r="C14" s="6" t="s">
        <v>5</v>
      </c>
      <c r="D14" s="8" t="s">
        <v>6</v>
      </c>
      <c r="E14" s="8"/>
      <c r="F14" s="8"/>
      <c r="G14" s="8"/>
      <c r="H14" s="8"/>
      <c r="I14" s="8"/>
    </row>
    <row r="15" customFormat="false" ht="10.5" hidden="false" customHeight="true" outlineLevel="0" collapsed="false">
      <c r="C15" s="6" t="s">
        <v>7</v>
      </c>
      <c r="D15" s="8" t="s">
        <v>8</v>
      </c>
      <c r="E15" s="8"/>
      <c r="F15" s="8"/>
      <c r="G15" s="8"/>
      <c r="H15" s="8"/>
      <c r="I15" s="8"/>
    </row>
    <row r="18" customFormat="false" ht="10.5" hidden="false" customHeight="true" outlineLevel="0" collapsed="false">
      <c r="A18" s="9" t="s">
        <v>9</v>
      </c>
    </row>
    <row r="19" customFormat="false" ht="10.5" hidden="false" customHeight="true" outlineLevel="0" collapsed="false">
      <c r="D19" s="10"/>
      <c r="E19" s="11"/>
    </row>
    <row r="20" customFormat="false" ht="10.5" hidden="false" customHeight="true" outlineLevel="0" collapsed="false">
      <c r="D20" s="10" t="s">
        <v>10</v>
      </c>
      <c r="E20" s="12" t="n">
        <v>110</v>
      </c>
    </row>
    <row r="21" customFormat="false" ht="10.5" hidden="false" customHeight="true" outlineLevel="0" collapsed="false">
      <c r="D21" s="13" t="s">
        <v>11</v>
      </c>
      <c r="E21" s="14" t="n">
        <v>2.5</v>
      </c>
    </row>
    <row r="22" customFormat="false" ht="10.5" hidden="false" customHeight="true" outlineLevel="0" collapsed="false">
      <c r="D22" s="13" t="s">
        <v>12</v>
      </c>
      <c r="E22" s="15" t="n">
        <f aca="false">E20*E21</f>
        <v>275</v>
      </c>
    </row>
    <row r="24" customFormat="false" ht="10.5" hidden="false" customHeight="true" outlineLevel="0" collapsed="false">
      <c r="A24" s="9" t="s">
        <v>13</v>
      </c>
    </row>
    <row r="26" customFormat="false" ht="10.5" hidden="false" customHeight="true" outlineLevel="0" collapsed="false">
      <c r="B26" s="16"/>
      <c r="C26" s="10" t="s">
        <v>14</v>
      </c>
      <c r="D26" s="17" t="s">
        <v>15</v>
      </c>
    </row>
    <row r="27" customFormat="false" ht="10.5" hidden="false" customHeight="true" outlineLevel="0" collapsed="false">
      <c r="B27" s="4"/>
      <c r="C27" s="13" t="s">
        <v>16</v>
      </c>
      <c r="D27" s="18" t="n">
        <v>279</v>
      </c>
      <c r="E27" s="4"/>
      <c r="F27" s="4"/>
      <c r="G27" s="4"/>
    </row>
    <row r="28" customFormat="false" ht="10.5" hidden="false" customHeight="true" outlineLevel="0" collapsed="false">
      <c r="B28" s="16"/>
      <c r="C28" s="10"/>
      <c r="I28" s="19"/>
    </row>
    <row r="29" customFormat="false" ht="10.5" hidden="false" customHeight="true" outlineLevel="0" collapsed="false">
      <c r="B29" s="16"/>
      <c r="C29" s="10" t="s">
        <v>17</v>
      </c>
      <c r="D29" s="20" t="n">
        <f aca="false" t="array" ref="D29:D29">INDEX(Data!C3:L13,MATCH(1,(D27&gt;=Data!A3:A13)*(D27&lt;=Data!B3:B13),0),MATCH($D$26,Data!C2:L2,0))</f>
        <v>-11</v>
      </c>
      <c r="E29" s="21"/>
      <c r="I29" s="19"/>
    </row>
    <row r="30" customFormat="false" ht="10.5" hidden="false" customHeight="true" outlineLevel="0" collapsed="false">
      <c r="D30" s="4"/>
      <c r="E30" s="4"/>
      <c r="I30" s="19"/>
    </row>
    <row r="31" customFormat="false" ht="10.5" hidden="false" customHeight="true" outlineLevel="0" collapsed="false">
      <c r="A31" s="9" t="s">
        <v>18</v>
      </c>
      <c r="E31" s="4"/>
      <c r="I31" s="19"/>
    </row>
    <row r="32" customFormat="false" ht="10.5" hidden="false" customHeight="true" outlineLevel="0" collapsed="false">
      <c r="A32" s="4"/>
      <c r="B32" s="4"/>
      <c r="C32" s="4"/>
      <c r="D32" s="4"/>
      <c r="E32" s="4"/>
      <c r="F32" s="4"/>
      <c r="G32" s="22"/>
      <c r="H32" s="19"/>
    </row>
    <row r="33" customFormat="false" ht="10.5" hidden="false" customHeight="true" outlineLevel="0" collapsed="false">
      <c r="A33" s="23" t="s">
        <v>19</v>
      </c>
      <c r="B33" s="23"/>
      <c r="C33" s="23"/>
      <c r="D33" s="24" t="s">
        <v>20</v>
      </c>
      <c r="E33" s="24"/>
      <c r="F33" s="24"/>
      <c r="G33" s="24"/>
      <c r="H33" s="24"/>
    </row>
    <row r="34" customFormat="false" ht="10.5" hidden="false" customHeight="true" outlineLevel="0" collapsed="false">
      <c r="B34" s="25"/>
      <c r="C34" s="25"/>
      <c r="D34" s="25"/>
      <c r="E34" s="25"/>
      <c r="F34" s="25"/>
      <c r="G34" s="25"/>
    </row>
    <row r="35" customFormat="false" ht="10.5" hidden="false" customHeight="true" outlineLevel="0" collapsed="false">
      <c r="A35" s="23" t="s">
        <v>21</v>
      </c>
      <c r="B35" s="23"/>
      <c r="C35" s="23"/>
      <c r="D35" s="23"/>
      <c r="E35" s="23"/>
      <c r="F35" s="21" t="n">
        <f aca="false">VLOOKUP(Note!D33,Tableau2[#all],2,0)</f>
        <v>1.4</v>
      </c>
      <c r="G35" s="4"/>
    </row>
    <row r="36" customFormat="false" ht="10.5" hidden="false" customHeight="true" outlineLevel="0" collapsed="false">
      <c r="B36" s="4"/>
      <c r="G36" s="4"/>
    </row>
    <row r="37" customFormat="false" ht="10.5" hidden="false" customHeight="true" outlineLevel="0" collapsed="false">
      <c r="A37" s="9" t="s">
        <v>22</v>
      </c>
      <c r="B37" s="25"/>
      <c r="C37" s="25"/>
      <c r="D37" s="4"/>
      <c r="E37" s="4"/>
      <c r="F37" s="4"/>
      <c r="G37" s="4"/>
    </row>
    <row r="38" customFormat="false" ht="10.5" hidden="false" customHeight="true" outlineLevel="0" collapsed="false">
      <c r="F38" s="4"/>
      <c r="G38" s="4"/>
    </row>
    <row r="39" customFormat="false" ht="10.5" hidden="false" customHeight="true" outlineLevel="0" collapsed="false">
      <c r="A39" s="4" t="s">
        <v>23</v>
      </c>
      <c r="B39" s="4"/>
      <c r="C39" s="4"/>
      <c r="E39" s="26" t="n">
        <v>20</v>
      </c>
      <c r="F39" s="4"/>
      <c r="G39" s="4"/>
    </row>
    <row r="40" customFormat="false" ht="10.5" hidden="false" customHeight="true" outlineLevel="0" collapsed="false">
      <c r="A40" s="4"/>
      <c r="B40" s="4"/>
      <c r="C40" s="4"/>
      <c r="D40" s="13" t="s">
        <v>24</v>
      </c>
      <c r="E40" s="27" t="n">
        <f aca="false">E39-D29</f>
        <v>31</v>
      </c>
      <c r="F40" s="4"/>
      <c r="G40" s="4"/>
    </row>
    <row r="41" customFormat="false" ht="10.5" hidden="false" customHeight="true" outlineLevel="0" collapsed="false">
      <c r="D41" s="4"/>
      <c r="E41" s="4"/>
      <c r="F41" s="4"/>
      <c r="G41" s="4"/>
    </row>
    <row r="42" customFormat="false" ht="10.5" hidden="false" customHeight="true" outlineLevel="0" collapsed="false">
      <c r="A42" s="9" t="s">
        <v>25</v>
      </c>
      <c r="B42" s="9"/>
      <c r="C42" s="9"/>
      <c r="D42" s="9"/>
      <c r="E42" s="9"/>
      <c r="F42" s="9"/>
      <c r="G42" s="9"/>
      <c r="H42" s="28"/>
    </row>
    <row r="43" customFormat="false" ht="10.5" hidden="false" customHeight="true" outlineLevel="0" collapsed="false">
      <c r="E43" s="4"/>
      <c r="F43" s="4"/>
      <c r="G43" s="4"/>
    </row>
    <row r="44" customFormat="false" ht="10.5" hidden="false" customHeight="true" outlineLevel="0" collapsed="false">
      <c r="B44" s="13" t="s">
        <v>26</v>
      </c>
      <c r="C44" s="29" t="n">
        <f aca="false">ROUND((F35*E22*E40),0)</f>
        <v>11935</v>
      </c>
      <c r="D44" s="29"/>
      <c r="E44" s="4"/>
      <c r="F44" s="30" t="s">
        <v>27</v>
      </c>
      <c r="G44" s="4"/>
    </row>
    <row r="45" customFormat="false" ht="10.5" hidden="false" customHeight="true" outlineLevel="0" collapsed="false">
      <c r="C45" s="4"/>
      <c r="D45" s="4"/>
      <c r="E45" s="4"/>
      <c r="G45" s="4"/>
    </row>
    <row r="46" customFormat="false" ht="10.5" hidden="false" customHeight="true" outlineLevel="0" collapsed="false">
      <c r="A46" s="4"/>
      <c r="B46" s="4"/>
      <c r="C46" s="4"/>
      <c r="D46" s="4"/>
      <c r="E46" s="4"/>
      <c r="F46" s="4"/>
      <c r="G46" s="4"/>
    </row>
    <row r="47" customFormat="false" ht="10.5" hidden="false" customHeight="true" outlineLevel="0" collapsed="false">
      <c r="A47" s="9" t="s">
        <v>28</v>
      </c>
    </row>
    <row r="48" customFormat="false" ht="10.5" hidden="false" customHeight="true" outlineLevel="0" collapsed="false">
      <c r="A48" s="4"/>
      <c r="B48" s="4"/>
      <c r="C48" s="4"/>
      <c r="D48" s="4"/>
      <c r="E48" s="4"/>
      <c r="F48" s="4"/>
      <c r="G48" s="4"/>
    </row>
    <row r="49" customFormat="false" ht="10.5" hidden="false" customHeight="true" outlineLevel="0" collapsed="false">
      <c r="A49" s="13" t="s">
        <v>29</v>
      </c>
      <c r="B49" s="31" t="s">
        <v>30</v>
      </c>
      <c r="C49" s="31"/>
      <c r="D49" s="31"/>
      <c r="E49" s="31"/>
      <c r="F49" s="31"/>
      <c r="J49" s="13" t="s">
        <v>31</v>
      </c>
      <c r="K49" s="31" t="n">
        <v>3630232</v>
      </c>
      <c r="L49" s="31"/>
      <c r="M49" s="31"/>
      <c r="N49" s="31"/>
      <c r="O49" s="31"/>
    </row>
    <row r="50" customFormat="false" ht="10.5" hidden="false" customHeight="true" outlineLevel="0" collapsed="false">
      <c r="A50" s="13" t="s">
        <v>32</v>
      </c>
      <c r="B50" s="31" t="s">
        <v>33</v>
      </c>
      <c r="C50" s="31"/>
      <c r="D50" s="31"/>
      <c r="E50" s="31"/>
      <c r="F50" s="31"/>
      <c r="J50" s="13" t="s">
        <v>34</v>
      </c>
      <c r="K50" s="31" t="n">
        <v>3301727</v>
      </c>
      <c r="L50" s="31"/>
      <c r="M50" s="31"/>
      <c r="N50" s="31"/>
      <c r="O50" s="31"/>
    </row>
    <row r="51" customFormat="false" ht="10.5" hidden="false" customHeight="true" outlineLevel="0" collapsed="false">
      <c r="B51" s="4"/>
      <c r="C51" s="13" t="s">
        <v>35</v>
      </c>
      <c r="D51" s="32" t="n">
        <v>12000</v>
      </c>
      <c r="E51" s="32"/>
      <c r="F51" s="33"/>
      <c r="G51" s="34" t="s">
        <v>36</v>
      </c>
      <c r="H51" s="34"/>
      <c r="I51" s="34"/>
      <c r="J51" s="34"/>
      <c r="K51" s="35" t="n">
        <v>189</v>
      </c>
      <c r="L51" s="35"/>
      <c r="M51" s="36"/>
    </row>
    <row r="52" customFormat="false" ht="10.5" hidden="false" customHeight="true" outlineLevel="0" collapsed="false">
      <c r="B52" s="4"/>
      <c r="C52" s="13" t="s">
        <v>37</v>
      </c>
      <c r="D52" s="37" t="n">
        <v>12000</v>
      </c>
      <c r="E52" s="37"/>
      <c r="F52" s="33"/>
      <c r="G52" s="34"/>
      <c r="H52" s="34"/>
      <c r="I52" s="34"/>
      <c r="J52" s="34"/>
      <c r="K52" s="35"/>
      <c r="L52" s="35"/>
      <c r="M52" s="36"/>
    </row>
    <row r="53" customFormat="false" ht="10.5" hidden="false" customHeight="true" outlineLevel="0" collapsed="false">
      <c r="B53" s="4"/>
      <c r="C53" s="13" t="s">
        <v>38</v>
      </c>
      <c r="D53" s="38" t="n">
        <v>-20</v>
      </c>
      <c r="E53" s="38"/>
      <c r="F53" s="39"/>
      <c r="G53" s="34" t="s">
        <v>39</v>
      </c>
      <c r="H53" s="34"/>
      <c r="I53" s="34"/>
      <c r="J53" s="34"/>
      <c r="K53" s="40" t="s">
        <v>40</v>
      </c>
      <c r="L53" s="40"/>
      <c r="M53" s="36"/>
    </row>
    <row r="54" customFormat="false" ht="10.5" hidden="false" customHeight="true" outlineLevel="0" collapsed="false">
      <c r="C54" s="13" t="s">
        <v>41</v>
      </c>
      <c r="D54" s="41" t="s">
        <v>42</v>
      </c>
      <c r="E54" s="41"/>
      <c r="F54" s="42"/>
      <c r="G54" s="34"/>
      <c r="H54" s="34"/>
      <c r="I54" s="34"/>
      <c r="J54" s="34"/>
      <c r="K54" s="40"/>
      <c r="L54" s="40"/>
      <c r="M54" s="36"/>
    </row>
    <row r="55" customFormat="false" ht="10.5" hidden="false" customHeight="true" outlineLevel="0" collapsed="false">
      <c r="A55" s="4"/>
      <c r="B55" s="4"/>
      <c r="C55" s="4"/>
      <c r="D55" s="4"/>
      <c r="E55" s="4"/>
      <c r="F55" s="4"/>
      <c r="G55" s="4"/>
    </row>
    <row r="58" customFormat="false" ht="10.5" hidden="false" customHeight="true" outlineLevel="0" collapsed="false">
      <c r="A58" s="9" t="s">
        <v>43</v>
      </c>
      <c r="D58" s="43"/>
      <c r="E58" s="43"/>
      <c r="F58" s="43"/>
      <c r="G58" s="43"/>
      <c r="H58" s="43"/>
      <c r="I58" s="43"/>
      <c r="J58" s="43"/>
    </row>
    <row r="60" customFormat="false" ht="10.5" hidden="false" customHeight="true" outlineLevel="0" collapsed="false">
      <c r="D60" s="43"/>
      <c r="E60" s="43"/>
      <c r="F60" s="43"/>
      <c r="G60" s="43"/>
      <c r="H60" s="43"/>
      <c r="J60" s="43"/>
    </row>
    <row r="61" customFormat="false" ht="10.5" hidden="false" customHeight="true" outlineLevel="0" collapsed="false">
      <c r="F61" s="43"/>
      <c r="G61" s="43"/>
      <c r="H61" s="43"/>
      <c r="I61" s="6" t="s">
        <v>44</v>
      </c>
      <c r="J61" s="44" t="n">
        <f aca="false">(D52/C44)*100</f>
        <v>100.544616673649</v>
      </c>
    </row>
    <row r="62" customFormat="false" ht="10.5" hidden="false" customHeight="true" outlineLevel="0" collapsed="false">
      <c r="C62" s="6" t="s">
        <v>45</v>
      </c>
      <c r="D62" s="45" t="str">
        <f aca="false">IF(D53&lt;D29,"Conforme","Non Conforme")</f>
        <v>Conforme</v>
      </c>
      <c r="E62" s="45"/>
      <c r="F62" s="43"/>
      <c r="G62" s="43"/>
      <c r="H62" s="43"/>
      <c r="I62" s="43"/>
      <c r="J62" s="13" t="s">
        <v>46</v>
      </c>
      <c r="K62" s="4" t="s">
        <v>47</v>
      </c>
      <c r="M62" s="46" t="str">
        <f aca="false">IF(AND($J$61&gt;60,$J$61&lt;140),"Conforme","Non Conforme")</f>
        <v>Conforme</v>
      </c>
      <c r="N62" s="46"/>
    </row>
    <row r="63" customFormat="false" ht="10.5" hidden="false" customHeight="true" outlineLevel="0" collapsed="false">
      <c r="C63" s="43"/>
      <c r="D63" s="43"/>
      <c r="E63" s="43"/>
      <c r="F63" s="43"/>
      <c r="I63" s="43"/>
      <c r="J63" s="43"/>
      <c r="K63" s="4" t="s">
        <v>48</v>
      </c>
      <c r="M63" s="46" t="str">
        <f aca="false">IF(AND($J$61&gt;60,$J$61&lt;130),"Conforme","Non Conforme")</f>
        <v>Conforme</v>
      </c>
      <c r="N63" s="46"/>
    </row>
    <row r="64" customFormat="false" ht="10.5" hidden="false" customHeight="true" outlineLevel="0" collapsed="false">
      <c r="C64" s="43"/>
      <c r="D64" s="43"/>
      <c r="E64" s="43"/>
      <c r="F64" s="43"/>
      <c r="G64" s="43"/>
      <c r="H64" s="43"/>
      <c r="I64" s="43"/>
      <c r="J64" s="43"/>
    </row>
    <row r="65" customFormat="false" ht="10.5" hidden="false" customHeight="true" outlineLevel="0" collapsed="false">
      <c r="C65" s="43"/>
      <c r="D65" s="43"/>
      <c r="E65" s="43"/>
      <c r="F65" s="43"/>
      <c r="G65" s="43"/>
    </row>
    <row r="66" customFormat="false" ht="10.5" hidden="false" customHeight="true" outlineLevel="0" collapsed="false">
      <c r="C66" s="43"/>
      <c r="D66" s="43"/>
      <c r="E66" s="43"/>
      <c r="F66" s="43"/>
      <c r="G66" s="43"/>
    </row>
    <row r="67" customFormat="false" ht="10.5" hidden="false" customHeight="true" outlineLevel="0" collapsed="false">
      <c r="C67" s="43"/>
      <c r="D67" s="43"/>
      <c r="E67" s="43"/>
      <c r="F67" s="43"/>
      <c r="G67" s="43"/>
      <c r="H67" s="43"/>
      <c r="I67" s="43"/>
      <c r="J67" s="43"/>
    </row>
    <row r="68" customFormat="false" ht="10.5" hidden="false" customHeight="true" outlineLevel="0" collapsed="false">
      <c r="C68" s="43"/>
      <c r="D68" s="43"/>
      <c r="E68" s="43"/>
      <c r="F68" s="43"/>
      <c r="G68" s="43"/>
      <c r="H68" s="43"/>
      <c r="I68" s="43"/>
      <c r="J68" s="43"/>
    </row>
    <row r="69" customFormat="false" ht="10.5" hidden="false" customHeight="true" outlineLevel="0" collapsed="false">
      <c r="C69" s="43"/>
      <c r="D69" s="43"/>
      <c r="E69" s="43"/>
      <c r="F69" s="43"/>
      <c r="G69" s="43"/>
      <c r="H69" s="43"/>
      <c r="I69" s="43"/>
      <c r="J69" s="43"/>
    </row>
    <row r="70" customFormat="false" ht="10.5" hidden="false" customHeight="true" outlineLevel="0" collapsed="false">
      <c r="C70" s="43"/>
      <c r="D70" s="43"/>
      <c r="E70" s="43"/>
      <c r="F70" s="43"/>
      <c r="G70" s="43"/>
      <c r="H70" s="43"/>
      <c r="I70" s="43"/>
      <c r="J70" s="43"/>
    </row>
    <row r="81" customFormat="false" ht="10.5" hidden="false" customHeight="true" outlineLevel="0" collapsed="false">
      <c r="A81" s="47" t="s">
        <v>49</v>
      </c>
    </row>
  </sheetData>
  <mergeCells count="25">
    <mergeCell ref="A3:E9"/>
    <mergeCell ref="H3:O8"/>
    <mergeCell ref="D12:I12"/>
    <mergeCell ref="D13:I13"/>
    <mergeCell ref="D14:I14"/>
    <mergeCell ref="D15:I15"/>
    <mergeCell ref="A33:C33"/>
    <mergeCell ref="D33:H33"/>
    <mergeCell ref="A35:E35"/>
    <mergeCell ref="C44:D44"/>
    <mergeCell ref="B49:F49"/>
    <mergeCell ref="K49:O49"/>
    <mergeCell ref="B50:F50"/>
    <mergeCell ref="K50:O50"/>
    <mergeCell ref="D51:E51"/>
    <mergeCell ref="G51:J52"/>
    <mergeCell ref="K51:L52"/>
    <mergeCell ref="D52:E52"/>
    <mergeCell ref="D53:E53"/>
    <mergeCell ref="G53:J54"/>
    <mergeCell ref="K53:L54"/>
    <mergeCell ref="D54:E54"/>
    <mergeCell ref="D62:E62"/>
    <mergeCell ref="M62:N62"/>
    <mergeCell ref="M63:N63"/>
  </mergeCells>
  <conditionalFormatting sqref="D62 M62:M63">
    <cfRule type="containsText" priority="2" operator="containsText" aboveAverage="0" equalAverage="0" bottom="0" percent="0" rank="0" text="Conforme" dxfId="0">
      <formula>NOT(ISERROR(SEARCH("Conforme",D62)))</formula>
    </cfRule>
    <cfRule type="expression" priority="3" aboveAverage="0" equalAverage="0" bottom="0" percent="0" rank="0" text="" dxfId="1">
      <formula>$D$53&lt;$D$29</formula>
    </cfRule>
  </conditionalFormatting>
  <conditionalFormatting sqref="D62:E62">
    <cfRule type="containsText" priority="4" operator="containsText" aboveAverage="0" equalAverage="0" bottom="0" percent="0" rank="0" text="Non" dxfId="2">
      <formula>NOT(ISERROR(SEARCH("Non",D62)))</formula>
    </cfRule>
  </conditionalFormatting>
  <conditionalFormatting sqref="M62:N63">
    <cfRule type="containsText" priority="5" operator="containsText" aboveAverage="0" equalAverage="0" bottom="0" percent="0" rank="0" text="Non" dxfId="3">
      <formula>NOT(ISERROR(SEARCH("Non",M62)))</formula>
    </cfRule>
  </conditionalFormatting>
  <dataValidations count="8">
    <dataValidation allowBlank="true" errorStyle="stop" operator="between" showDropDown="false" showErrorMessage="true" showInputMessage="true" sqref="D27" type="whole">
      <formula1>0</formula1>
      <formula2>10000</formula2>
    </dataValidation>
    <dataValidation allowBlank="true" errorStyle="stop" operator="greaterThan" showDropDown="false" showErrorMessage="true" showInputMessage="true" sqref="E21" type="decimal">
      <formula1>1.8</formula1>
      <formula2>0</formula2>
    </dataValidation>
    <dataValidation allowBlank="true" errorStyle="stop" operator="between" showDropDown="false" showErrorMessage="true" showInputMessage="true" sqref="E39" type="decimal">
      <formula1>19</formula1>
      <formula2>25</formula2>
    </dataValidation>
    <dataValidation allowBlank="true" errorStyle="stop" operator="between" showDropDown="false" showErrorMessage="true" showInputMessage="true" sqref="D54" type="list">
      <formula1>"Basse T°C,Moyenne T°C,Haute T°C"</formula1>
      <formula2>0</formula2>
    </dataValidation>
    <dataValidation allowBlank="true" errorStyle="stop" operator="between" prompt="Information recommandé" showDropDown="false" showErrorMessage="true" showInputMessage="true" sqref="K51:L52" type="none">
      <formula1>0</formula1>
      <formula2>0</formula2>
    </dataValidation>
    <dataValidation allowBlank="true" errorStyle="stop" operator="between" prompt="Information recommandé" showDropDown="false" showErrorMessage="true" showInputMessage="true" sqref="K53:L54" type="list">
      <formula1>"Oui,Non (Remplacement des émetteurs)"</formula1>
      <formula2>0</formula2>
    </dataValidation>
    <dataValidation allowBlank="true" errorStyle="stop" operator="between" showDropDown="false" showErrorMessage="true" showInputMessage="true" sqref="D26" type="list">
      <formula1>Data!$C$2:$L$2</formula1>
      <formula2>0</formula2>
    </dataValidation>
    <dataValidation allowBlank="true" errorStyle="stop" operator="between" showDropDown="false" showErrorMessage="true" showInputMessage="true" sqref="D33" type="list">
      <formula1>Data!$M$2:$M$22</formula1>
      <formula2>0</formula2>
    </dataValidation>
  </dataValidations>
  <printOptions headings="false" gridLines="false" gridLinesSet="true" horizontalCentered="false" verticalCentered="false"/>
  <pageMargins left="0" right="0" top="0" bottom="0" header="0" footer="0.511811023622047"/>
  <pageSetup paperSize="9" scale="9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N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18" activeCellId="0" sqref="G18"/>
    </sheetView>
  </sheetViews>
  <sheetFormatPr defaultColWidth="11.5078125" defaultRowHeight="15" zeroHeight="false" outlineLevelRow="0" outlineLevelCol="0"/>
  <cols>
    <col collapsed="false" customWidth="false" hidden="false" outlineLevel="0" max="12" min="1" style="48" width="11.51"/>
    <col collapsed="false" customWidth="true" hidden="false" outlineLevel="0" max="13" min="13" style="48" width="47.66"/>
    <col collapsed="false" customWidth="false" hidden="false" outlineLevel="0" max="1024" min="14" style="48" width="11.51"/>
  </cols>
  <sheetData>
    <row r="1" customFormat="false" ht="15" hidden="false" customHeight="true" outlineLevel="0" collapsed="false">
      <c r="A1" s="49" t="s">
        <v>50</v>
      </c>
      <c r="B1" s="49"/>
      <c r="C1" s="50" t="s">
        <v>51</v>
      </c>
      <c r="D1" s="50"/>
      <c r="E1" s="50"/>
      <c r="F1" s="50"/>
      <c r="G1" s="50"/>
      <c r="H1" s="50"/>
      <c r="I1" s="50"/>
      <c r="J1" s="50"/>
      <c r="K1" s="50"/>
      <c r="L1" s="51"/>
      <c r="M1" s="52" t="s">
        <v>52</v>
      </c>
      <c r="N1" s="52" t="s">
        <v>53</v>
      </c>
    </row>
    <row r="2" customFormat="false" ht="15.75" hidden="false" customHeight="false" outlineLevel="0" collapsed="false">
      <c r="A2" s="53"/>
      <c r="B2" s="54"/>
      <c r="C2" s="55" t="s">
        <v>54</v>
      </c>
      <c r="D2" s="54" t="s">
        <v>55</v>
      </c>
      <c r="E2" s="54" t="s">
        <v>56</v>
      </c>
      <c r="F2" s="54" t="s">
        <v>57</v>
      </c>
      <c r="G2" s="54" t="s">
        <v>58</v>
      </c>
      <c r="H2" s="54" t="s">
        <v>59</v>
      </c>
      <c r="I2" s="54" t="s">
        <v>15</v>
      </c>
      <c r="J2" s="56" t="s">
        <v>60</v>
      </c>
      <c r="K2" s="56" t="s">
        <v>61</v>
      </c>
      <c r="L2" s="51"/>
      <c r="M2" s="57" t="s">
        <v>62</v>
      </c>
      <c r="N2" s="48" t="n">
        <v>2.8</v>
      </c>
    </row>
    <row r="3" customFormat="false" ht="15" hidden="false" customHeight="false" outlineLevel="0" collapsed="false">
      <c r="A3" s="53" t="n">
        <v>0</v>
      </c>
      <c r="B3" s="54" t="n">
        <v>200</v>
      </c>
      <c r="C3" s="58" t="n">
        <v>-2</v>
      </c>
      <c r="D3" s="59" t="n">
        <v>-4</v>
      </c>
      <c r="E3" s="59" t="n">
        <v>-5</v>
      </c>
      <c r="F3" s="59" t="n">
        <v>-7</v>
      </c>
      <c r="G3" s="59" t="n">
        <v>-8</v>
      </c>
      <c r="H3" s="59" t="n">
        <v>-9</v>
      </c>
      <c r="I3" s="59" t="n">
        <v>-10</v>
      </c>
      <c r="J3" s="60" t="n">
        <v>-12</v>
      </c>
      <c r="K3" s="61" t="n">
        <v>-15</v>
      </c>
      <c r="L3" s="62"/>
      <c r="M3" s="57" t="s">
        <v>63</v>
      </c>
      <c r="N3" s="48" t="n">
        <v>2.1</v>
      </c>
    </row>
    <row r="4" customFormat="false" ht="15" hidden="false" customHeight="false" outlineLevel="0" collapsed="false">
      <c r="A4" s="53" t="n">
        <v>201</v>
      </c>
      <c r="B4" s="54" t="n">
        <v>400</v>
      </c>
      <c r="C4" s="58" t="n">
        <v>-4</v>
      </c>
      <c r="D4" s="59" t="n">
        <v>-5</v>
      </c>
      <c r="E4" s="59" t="n">
        <v>-6</v>
      </c>
      <c r="F4" s="59" t="n">
        <v>-8</v>
      </c>
      <c r="G4" s="59" t="n">
        <v>-9</v>
      </c>
      <c r="H4" s="59" t="n">
        <v>-10</v>
      </c>
      <c r="I4" s="59" t="n">
        <v>-11</v>
      </c>
      <c r="J4" s="60" t="n">
        <v>-13</v>
      </c>
      <c r="K4" s="61" t="n">
        <v>-15</v>
      </c>
      <c r="L4" s="62"/>
      <c r="M4" s="57" t="s">
        <v>64</v>
      </c>
      <c r="N4" s="48" t="n">
        <v>1.8</v>
      </c>
    </row>
    <row r="5" customFormat="false" ht="15" hidden="false" customHeight="false" outlineLevel="0" collapsed="false">
      <c r="A5" s="53" t="n">
        <v>401</v>
      </c>
      <c r="B5" s="54" t="n">
        <v>600</v>
      </c>
      <c r="C5" s="58" t="n">
        <v>-6</v>
      </c>
      <c r="D5" s="59" t="n">
        <v>-6</v>
      </c>
      <c r="E5" s="59" t="n">
        <v>-7</v>
      </c>
      <c r="F5" s="59" t="n">
        <v>-9</v>
      </c>
      <c r="G5" s="59" t="n">
        <v>-11</v>
      </c>
      <c r="H5" s="59" t="n">
        <v>-11</v>
      </c>
      <c r="I5" s="59" t="n">
        <v>-13</v>
      </c>
      <c r="J5" s="60" t="n">
        <v>-15</v>
      </c>
      <c r="K5" s="61" t="n">
        <v>-19</v>
      </c>
      <c r="L5" s="62"/>
      <c r="M5" s="57" t="s">
        <v>65</v>
      </c>
      <c r="N5" s="48" t="n">
        <v>1.7</v>
      </c>
    </row>
    <row r="6" customFormat="false" ht="15" hidden="false" customHeight="false" outlineLevel="0" collapsed="false">
      <c r="A6" s="53" t="n">
        <v>601</v>
      </c>
      <c r="B6" s="54" t="n">
        <v>800</v>
      </c>
      <c r="C6" s="58" t="n">
        <v>-8</v>
      </c>
      <c r="D6" s="59" t="n">
        <v>-7</v>
      </c>
      <c r="E6" s="59" t="n">
        <v>-8</v>
      </c>
      <c r="F6" s="59" t="n">
        <v>-11</v>
      </c>
      <c r="G6" s="59" t="n">
        <v>-13</v>
      </c>
      <c r="H6" s="59" t="n">
        <v>-12</v>
      </c>
      <c r="I6" s="59" t="n">
        <v>-14</v>
      </c>
      <c r="J6" s="60" t="n">
        <v>-17</v>
      </c>
      <c r="K6" s="61" t="n">
        <v>-21</v>
      </c>
      <c r="L6" s="62"/>
      <c r="M6" s="57" t="s">
        <v>66</v>
      </c>
      <c r="N6" s="48" t="n">
        <v>1.7</v>
      </c>
    </row>
    <row r="7" customFormat="false" ht="15" hidden="false" customHeight="false" outlineLevel="0" collapsed="false">
      <c r="A7" s="53" t="n">
        <v>801</v>
      </c>
      <c r="B7" s="54" t="n">
        <v>1000</v>
      </c>
      <c r="C7" s="58" t="n">
        <v>-10</v>
      </c>
      <c r="D7" s="59" t="n">
        <v>-8</v>
      </c>
      <c r="E7" s="59" t="n">
        <v>-9</v>
      </c>
      <c r="F7" s="59" t="n">
        <v>-13</v>
      </c>
      <c r="G7" s="59" t="n">
        <v>-15</v>
      </c>
      <c r="H7" s="59" t="n">
        <v>-13</v>
      </c>
      <c r="I7" s="59" t="n">
        <v>-17</v>
      </c>
      <c r="J7" s="60" t="n">
        <v>-19</v>
      </c>
      <c r="K7" s="61" t="n">
        <v>-23</v>
      </c>
      <c r="L7" s="62"/>
      <c r="M7" s="57" t="s">
        <v>67</v>
      </c>
      <c r="N7" s="48" t="n">
        <v>1.6</v>
      </c>
    </row>
    <row r="8" customFormat="false" ht="15" hidden="false" customHeight="false" outlineLevel="0" collapsed="false">
      <c r="A8" s="53" t="n">
        <v>1001</v>
      </c>
      <c r="B8" s="54" t="n">
        <v>1200</v>
      </c>
      <c r="C8" s="58" t="n">
        <v>-12</v>
      </c>
      <c r="D8" s="59" t="n">
        <v>-9</v>
      </c>
      <c r="E8" s="59" t="n">
        <v>-10</v>
      </c>
      <c r="F8" s="59" t="n">
        <v>-14</v>
      </c>
      <c r="G8" s="59" t="n">
        <v>-17</v>
      </c>
      <c r="H8" s="54"/>
      <c r="I8" s="59" t="n">
        <v>-19</v>
      </c>
      <c r="J8" s="60" t="n">
        <v>-21</v>
      </c>
      <c r="K8" s="61" t="n">
        <v>-24</v>
      </c>
      <c r="L8" s="62"/>
      <c r="M8" s="57" t="s">
        <v>68</v>
      </c>
      <c r="N8" s="48" t="n">
        <v>1.5</v>
      </c>
    </row>
    <row r="9" customFormat="false" ht="15" hidden="false" customHeight="false" outlineLevel="0" collapsed="false">
      <c r="A9" s="53" t="n">
        <v>1201</v>
      </c>
      <c r="B9" s="54" t="n">
        <v>1400</v>
      </c>
      <c r="C9" s="58" t="n">
        <v>-14</v>
      </c>
      <c r="D9" s="59" t="n">
        <v>-10</v>
      </c>
      <c r="E9" s="59" t="n">
        <v>-11</v>
      </c>
      <c r="F9" s="59" t="n">
        <v>-15</v>
      </c>
      <c r="G9" s="59" t="n">
        <v>-19</v>
      </c>
      <c r="H9" s="54"/>
      <c r="I9" s="59" t="n">
        <v>-21</v>
      </c>
      <c r="J9" s="60" t="n">
        <v>-23</v>
      </c>
      <c r="K9" s="61" t="n">
        <v>-25</v>
      </c>
      <c r="L9" s="62"/>
      <c r="M9" s="57" t="s">
        <v>20</v>
      </c>
      <c r="N9" s="48" t="n">
        <v>1.4</v>
      </c>
    </row>
    <row r="10" customFormat="false" ht="15" hidden="false" customHeight="false" outlineLevel="0" collapsed="false">
      <c r="A10" s="53" t="n">
        <v>1401</v>
      </c>
      <c r="B10" s="54" t="n">
        <v>1600</v>
      </c>
      <c r="C10" s="58" t="n">
        <v>-16</v>
      </c>
      <c r="D10" s="54"/>
      <c r="E10" s="59" t="n">
        <v>-12</v>
      </c>
      <c r="F10" s="54"/>
      <c r="G10" s="59" t="n">
        <v>-21</v>
      </c>
      <c r="H10" s="54"/>
      <c r="I10" s="59" t="n">
        <v>-23</v>
      </c>
      <c r="J10" s="60" t="n">
        <v>-24</v>
      </c>
      <c r="K10" s="63"/>
      <c r="L10" s="51"/>
      <c r="M10" s="57" t="s">
        <v>69</v>
      </c>
      <c r="N10" s="48" t="n">
        <v>1.4</v>
      </c>
    </row>
    <row r="11" customFormat="false" ht="15" hidden="false" customHeight="false" outlineLevel="0" collapsed="false">
      <c r="A11" s="53" t="n">
        <v>1601</v>
      </c>
      <c r="B11" s="54" t="n">
        <v>1800</v>
      </c>
      <c r="C11" s="58" t="n">
        <v>-18</v>
      </c>
      <c r="D11" s="54"/>
      <c r="E11" s="59" t="n">
        <v>-13</v>
      </c>
      <c r="F11" s="54"/>
      <c r="G11" s="59" t="n">
        <v>-23</v>
      </c>
      <c r="H11" s="54"/>
      <c r="I11" s="59" t="n">
        <v>-24</v>
      </c>
      <c r="J11" s="56"/>
      <c r="K11" s="63"/>
      <c r="L11" s="51"/>
      <c r="M11" s="57" t="s">
        <v>70</v>
      </c>
      <c r="N11" s="48" t="n">
        <v>1.2</v>
      </c>
    </row>
    <row r="12" customFormat="false" ht="15" hidden="false" customHeight="false" outlineLevel="0" collapsed="false">
      <c r="A12" s="53" t="n">
        <v>1801</v>
      </c>
      <c r="B12" s="54" t="n">
        <v>2000</v>
      </c>
      <c r="C12" s="58" t="n">
        <v>-20</v>
      </c>
      <c r="D12" s="54"/>
      <c r="E12" s="59" t="n">
        <v>-14</v>
      </c>
      <c r="F12" s="54"/>
      <c r="G12" s="59" t="n">
        <v>-25</v>
      </c>
      <c r="H12" s="54"/>
      <c r="I12" s="59" t="n">
        <v>-25</v>
      </c>
      <c r="J12" s="56"/>
      <c r="K12" s="63"/>
      <c r="L12" s="51"/>
      <c r="M12" s="57" t="s">
        <v>71</v>
      </c>
      <c r="N12" s="48" t="n">
        <v>1.1</v>
      </c>
    </row>
    <row r="13" customFormat="false" ht="15" hidden="false" customHeight="false" outlineLevel="0" collapsed="false">
      <c r="A13" s="53" t="n">
        <v>2001</v>
      </c>
      <c r="B13" s="54" t="n">
        <v>2200</v>
      </c>
      <c r="C13" s="55"/>
      <c r="D13" s="54"/>
      <c r="E13" s="59" t="n">
        <v>-15</v>
      </c>
      <c r="F13" s="54"/>
      <c r="G13" s="59" t="n">
        <v>-27</v>
      </c>
      <c r="H13" s="54"/>
      <c r="I13" s="59" t="n">
        <v>-29</v>
      </c>
      <c r="J13" s="56"/>
      <c r="K13" s="63"/>
      <c r="L13" s="51"/>
      <c r="M13" s="57" t="s">
        <v>72</v>
      </c>
      <c r="N13" s="48" t="n">
        <v>1</v>
      </c>
    </row>
    <row r="14" customFormat="false" ht="15" hidden="false" customHeight="false" outlineLevel="0" collapsed="false">
      <c r="A14" s="64"/>
      <c r="B14" s="64"/>
      <c r="C14" s="64"/>
      <c r="D14" s="64"/>
      <c r="E14" s="64"/>
      <c r="F14" s="64"/>
      <c r="G14" s="64"/>
      <c r="H14" s="64"/>
      <c r="I14" s="64"/>
      <c r="J14" s="64"/>
      <c r="K14" s="64"/>
      <c r="M14" s="57" t="s">
        <v>73</v>
      </c>
      <c r="N14" s="48" t="n">
        <v>0.9</v>
      </c>
    </row>
    <row r="15" customFormat="false" ht="15" hidden="false" customHeight="false" outlineLevel="0" collapsed="false">
      <c r="A15" s="64"/>
      <c r="B15" s="64"/>
      <c r="C15" s="64"/>
      <c r="D15" s="64"/>
      <c r="E15" s="64"/>
      <c r="F15" s="64"/>
      <c r="G15" s="64"/>
      <c r="H15" s="64"/>
      <c r="I15" s="64"/>
      <c r="J15" s="64"/>
      <c r="K15" s="64"/>
      <c r="M15" s="57" t="s">
        <v>74</v>
      </c>
      <c r="N15" s="48" t="n">
        <v>0.87</v>
      </c>
    </row>
    <row r="16" customFormat="false" ht="15" hidden="false" customHeight="false" outlineLevel="0" collapsed="false">
      <c r="A16" s="64"/>
      <c r="B16" s="64"/>
      <c r="C16" s="64"/>
      <c r="D16" s="64"/>
      <c r="E16" s="64"/>
      <c r="F16" s="64"/>
      <c r="G16" s="64"/>
      <c r="H16" s="64"/>
      <c r="I16" s="64"/>
      <c r="J16" s="64"/>
      <c r="K16" s="64"/>
      <c r="M16" s="57" t="s">
        <v>75</v>
      </c>
      <c r="N16" s="48" t="n">
        <v>0.8</v>
      </c>
    </row>
    <row r="17" customFormat="false" ht="15" hidden="false" customHeight="false" outlineLevel="0" collapsed="false">
      <c r="A17" s="64"/>
      <c r="B17" s="64"/>
      <c r="C17" s="64"/>
      <c r="D17" s="64"/>
      <c r="E17" s="64"/>
      <c r="F17" s="64"/>
      <c r="G17" s="64"/>
      <c r="H17" s="64"/>
      <c r="I17" s="64"/>
      <c r="J17" s="64"/>
      <c r="K17" s="64"/>
      <c r="M17" s="57" t="s">
        <v>76</v>
      </c>
      <c r="N17" s="48" t="n">
        <v>0.8</v>
      </c>
    </row>
    <row r="18" customFormat="false" ht="15" hidden="false" customHeight="false" outlineLevel="0" collapsed="false">
      <c r="A18" s="64"/>
      <c r="B18" s="64"/>
      <c r="C18" s="64"/>
      <c r="D18" s="64"/>
      <c r="E18" s="64"/>
      <c r="F18" s="64"/>
      <c r="G18" s="64"/>
      <c r="H18" s="64"/>
      <c r="I18" s="64"/>
      <c r="J18" s="64"/>
      <c r="K18" s="64"/>
      <c r="M18" s="57" t="s">
        <v>77</v>
      </c>
      <c r="N18" s="48" t="n">
        <v>0.8</v>
      </c>
    </row>
    <row r="19" customFormat="false" ht="15" hidden="false" customHeight="false" outlineLevel="0" collapsed="false">
      <c r="A19" s="64"/>
      <c r="B19" s="64"/>
      <c r="C19" s="64"/>
      <c r="D19" s="64"/>
      <c r="E19" s="64"/>
      <c r="F19" s="64"/>
      <c r="G19" s="64"/>
      <c r="H19" s="64"/>
      <c r="I19" s="64"/>
      <c r="J19" s="64"/>
      <c r="K19" s="64"/>
      <c r="M19" s="57" t="s">
        <v>78</v>
      </c>
      <c r="N19" s="48" t="n">
        <v>0.65</v>
      </c>
    </row>
    <row r="20" customFormat="false" ht="15" hidden="false" customHeight="false" outlineLevel="0" collapsed="false">
      <c r="A20" s="64"/>
      <c r="B20" s="64"/>
      <c r="C20" s="64"/>
      <c r="D20" s="64"/>
      <c r="E20" s="64"/>
      <c r="F20" s="64"/>
      <c r="G20" s="64"/>
      <c r="H20" s="64"/>
      <c r="I20" s="64"/>
      <c r="J20" s="64"/>
      <c r="K20" s="64"/>
      <c r="M20" s="57" t="s">
        <v>79</v>
      </c>
      <c r="N20" s="48" t="n">
        <v>0.58</v>
      </c>
    </row>
    <row r="21" customFormat="false" ht="15" hidden="false" customHeight="false" outlineLevel="0" collapsed="false">
      <c r="M21" s="57" t="s">
        <v>80</v>
      </c>
      <c r="N21" s="48" t="n">
        <v>0.47</v>
      </c>
    </row>
    <row r="22" customFormat="false" ht="15" hidden="false" customHeight="false" outlineLevel="0" collapsed="false">
      <c r="M22" s="57" t="s">
        <v>81</v>
      </c>
      <c r="N22" s="48" t="n">
        <v>0.3</v>
      </c>
    </row>
  </sheetData>
  <mergeCells count="2">
    <mergeCell ref="A1:B1"/>
    <mergeCell ref="C1:K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137936BE5F1C249AAC4856A0AF4E392" ma:contentTypeVersion="4" ma:contentTypeDescription="Crée un document." ma:contentTypeScope="" ma:versionID="e7468743739d2d5011fa18c500dc02a7">
  <xsd:schema xmlns:xsd="http://www.w3.org/2001/XMLSchema" xmlns:xs="http://www.w3.org/2001/XMLSchema" xmlns:p="http://schemas.microsoft.com/office/2006/metadata/properties" xmlns:ns2="83d8f298-2e10-42eb-9d32-854801a120ab" xmlns:ns3="c0c08bd3-3445-4d61-916b-8f84d4c884ec" targetNamespace="http://schemas.microsoft.com/office/2006/metadata/properties" ma:root="true" ma:fieldsID="2b33e4375a32b32025ae58c2be6e817f" ns2:_="" ns3:_="">
    <xsd:import namespace="83d8f298-2e10-42eb-9d32-854801a120ab"/>
    <xsd:import namespace="c0c08bd3-3445-4d61-916b-8f84d4c88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d8f298-2e10-42eb-9d32-854801a120a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c08bd3-3445-4d61-916b-8f84d4c884e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B1D3285-BEC1-433E-98E9-90091E780922}">
  <ds:schemaRefs>
    <ds:schemaRef ds:uri="http://purl.org/dc/dcmitype/"/>
    <ds:schemaRef ds:uri="http://purl.org/dc/terms/"/>
    <ds:schemaRef ds:uri="http://www.w3.org/XML/1998/namespace"/>
    <ds:schemaRef ds:uri="http://schemas.microsoft.com/office/2006/metadata/properties"/>
    <ds:schemaRef ds:uri="83d8f298-2e10-42eb-9d32-854801a120ab"/>
    <ds:schemaRef ds:uri="c0c08bd3-3445-4d61-916b-8f84d4c884ec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</ds:schemaRefs>
</ds:datastoreItem>
</file>

<file path=customXml/itemProps2.xml><?xml version="1.0" encoding="utf-8"?>
<ds:datastoreItem xmlns:ds="http://schemas.openxmlformats.org/officeDocument/2006/customXml" ds:itemID="{3A3A01C4-B6F5-46B2-81E2-D44C6A698A6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3d8f298-2e10-42eb-9d32-854801a120ab"/>
    <ds:schemaRef ds:uri="c0c08bd3-3445-4d61-916b-8f84d4c88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EFA2FE9-822C-474A-AE2D-E8E5BDCFFC5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2022-10-26T12:53:39Z</dcterms:created>
  <dc:creator>Vivien BRONGNIART</dc:creator>
  <dc:description/>
  <dc:language>en-US</dc:language>
  <cp:lastModifiedBy/>
  <cp:lastPrinted>2025-10-06T10:47:09Z</cp:lastPrinted>
  <dcterms:modified xsi:type="dcterms:W3CDTF">2025-11-10T19:19:46Z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0x010100E137936BE5F1C249AAC4856A0AF4E392</vt:lpwstr>
  </property>
</Properties>
</file>